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galinde/code/github/f5-proyecto-abandono-escolar/doc/"/>
    </mc:Choice>
  </mc:AlternateContent>
  <xr:revisionPtr revIDLastSave="0" documentId="13_ncr:1_{AED02CE9-A5E1-A646-82B1-6DE54F71DD4D}" xr6:coauthVersionLast="47" xr6:coauthVersionMax="47" xr10:uidLastSave="{00000000-0000-0000-0000-000000000000}"/>
  <bookViews>
    <workbookView xWindow="4640" yWindow="3640" windowWidth="26780" windowHeight="13460" xr2:uid="{6E52E8A8-97BF-F94E-AADF-1001584B23DC}"/>
  </bookViews>
  <sheets>
    <sheet name="Ponderacion" sheetId="1" r:id="rId1"/>
    <sheet name="Homogeneizac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19" i="1"/>
  <c r="F18" i="1"/>
  <c r="D20" i="1"/>
  <c r="D19" i="1"/>
  <c r="D18" i="1"/>
  <c r="H15" i="1"/>
  <c r="F15" i="1"/>
  <c r="D15" i="1"/>
  <c r="F22" i="1" l="1"/>
  <c r="D22" i="1"/>
</calcChain>
</file>

<file path=xl/sharedStrings.xml><?xml version="1.0" encoding="utf-8"?>
<sst xmlns="http://schemas.openxmlformats.org/spreadsheetml/2006/main" count="79" uniqueCount="53">
  <si>
    <t>PONDERACION DE VARIABLES PARA EL MODELO</t>
  </si>
  <si>
    <t>VARIABLE</t>
  </si>
  <si>
    <t>PESO</t>
  </si>
  <si>
    <t>AGRUPACION</t>
  </si>
  <si>
    <t>Asistencia</t>
  </si>
  <si>
    <t>Inactividad</t>
  </si>
  <si>
    <t>Notas</t>
  </si>
  <si>
    <t>Suspensas</t>
  </si>
  <si>
    <t>NSE</t>
  </si>
  <si>
    <t>Internet</t>
  </si>
  <si>
    <t>Familia</t>
  </si>
  <si>
    <t>Trabajo</t>
  </si>
  <si>
    <t>Distancia</t>
  </si>
  <si>
    <t>TOTAL</t>
  </si>
  <si>
    <t>asistencia_pct</t>
  </si>
  <si>
    <t>dias_sin_actividad</t>
  </si>
  <si>
    <t>nota_media</t>
  </si>
  <si>
    <t>materias_suspensas</t>
  </si>
  <si>
    <t>nivel_socioeconomico</t>
  </si>
  <si>
    <t>acceso_internet</t>
  </si>
  <si>
    <t>apoyo_familiar</t>
  </si>
  <si>
    <t>trabaja</t>
  </si>
  <si>
    <t>distancia_escuela</t>
  </si>
  <si>
    <t>Variable</t>
  </si>
  <si>
    <t>Tipo</t>
  </si>
  <si>
    <t>Dirección Riesgo</t>
  </si>
  <si>
    <t>Rango</t>
  </si>
  <si>
    <t>Impacto relativo</t>
  </si>
  <si>
    <t>Comentarios</t>
  </si>
  <si>
    <t>Asistencia_pct</t>
  </si>
  <si>
    <t>Academica</t>
  </si>
  <si>
    <t>Homogeneizada</t>
  </si>
  <si>
    <t>Escala [0,1]</t>
  </si>
  <si>
    <t>Nota_media</t>
  </si>
  <si>
    <t>Control de nulos</t>
  </si>
  <si>
    <t>Materias_suspensas</t>
  </si>
  <si>
    <t>Dias_sin_actividad</t>
  </si>
  <si>
    <t>Distancia_escuela</t>
  </si>
  <si>
    <t>Parcialmente homogenizada</t>
  </si>
  <si>
    <t>Acceso_internet</t>
  </si>
  <si>
    <t>Apoyo_familiar</t>
  </si>
  <si>
    <t>Trabaja</t>
  </si>
  <si>
    <t>Nivel_socioeconomico</t>
  </si>
  <si>
    <t>Parcialmente homogeneizada</t>
  </si>
  <si>
    <t>Oferta_educativa</t>
  </si>
  <si>
    <t>Grado_urbanización</t>
  </si>
  <si>
    <t>oferta_educativa</t>
  </si>
  <si>
    <t>Asociacion</t>
  </si>
  <si>
    <t>Académico</t>
  </si>
  <si>
    <t>Socioeconómico</t>
  </si>
  <si>
    <t>Oferta educativa</t>
  </si>
  <si>
    <t>final_disciplinario</t>
  </si>
  <si>
    <t>Comportamiento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</si>
</sst>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3" xfId="0" applyFont="1" applyBorder="1"/>
    <xf numFmtId="0" fontId="1" fillId="0" borderId="4" xfId="0" applyFont="1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7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09C2-E2FC-244C-8F82-57E0DC9BB26F}">
  <dimension ref="A1:H22"/>
  <sheetViews>
    <sheetView tabSelected="1" workbookViewId="0">
      <selection activeCell="I15" sqref="I15"/>
    </sheetView>
  </sheetViews>
  <sheetFormatPr baseColWidth="10" defaultRowHeight="16" x14ac:dyDescent="0.2"/>
  <cols>
    <col min="1" max="1" width="18.83203125" customWidth="1"/>
    <col min="2" max="2" width="16.83203125" customWidth="1"/>
    <col min="3" max="3" width="26" customWidth="1"/>
  </cols>
  <sheetData>
    <row r="1" spans="1:8" ht="17" thickBot="1" x14ac:dyDescent="0.25">
      <c r="A1" t="s">
        <v>0</v>
      </c>
    </row>
    <row r="2" spans="1:8" ht="17" thickBot="1" x14ac:dyDescent="0.25">
      <c r="A2" s="8" t="s">
        <v>3</v>
      </c>
      <c r="B2" s="9" t="s">
        <v>47</v>
      </c>
      <c r="C2" s="9" t="s">
        <v>1</v>
      </c>
      <c r="D2" s="9" t="s">
        <v>2</v>
      </c>
      <c r="E2" s="10"/>
      <c r="F2" s="9" t="s">
        <v>2</v>
      </c>
      <c r="G2" s="10"/>
      <c r="H2" s="11" t="s">
        <v>2</v>
      </c>
    </row>
    <row r="3" spans="1:8" x14ac:dyDescent="0.2">
      <c r="A3" t="s">
        <v>48</v>
      </c>
      <c r="B3" t="s">
        <v>4</v>
      </c>
      <c r="C3" t="s">
        <v>14</v>
      </c>
      <c r="D3">
        <v>0.22</v>
      </c>
      <c r="F3">
        <v>0.22</v>
      </c>
      <c r="H3">
        <v>0.25</v>
      </c>
    </row>
    <row r="4" spans="1:8" x14ac:dyDescent="0.2">
      <c r="A4" t="s">
        <v>48</v>
      </c>
      <c r="B4" t="s">
        <v>5</v>
      </c>
      <c r="C4" t="s">
        <v>15</v>
      </c>
      <c r="D4">
        <v>0.18</v>
      </c>
      <c r="F4">
        <v>0.18</v>
      </c>
      <c r="H4">
        <v>0.2</v>
      </c>
    </row>
    <row r="5" spans="1:8" x14ac:dyDescent="0.2">
      <c r="A5" t="s">
        <v>48</v>
      </c>
      <c r="B5" t="s">
        <v>6</v>
      </c>
      <c r="C5" t="s">
        <v>16</v>
      </c>
      <c r="D5">
        <v>0.02</v>
      </c>
      <c r="F5">
        <v>0.12</v>
      </c>
      <c r="H5">
        <v>0.15</v>
      </c>
    </row>
    <row r="6" spans="1:8" x14ac:dyDescent="0.2">
      <c r="A6" t="s">
        <v>48</v>
      </c>
      <c r="B6" t="s">
        <v>7</v>
      </c>
      <c r="C6" t="s">
        <v>17</v>
      </c>
      <c r="D6">
        <v>0</v>
      </c>
      <c r="F6">
        <v>0</v>
      </c>
    </row>
    <row r="7" spans="1:8" x14ac:dyDescent="0.2">
      <c r="A7" t="s">
        <v>48</v>
      </c>
      <c r="B7" t="s">
        <v>52</v>
      </c>
      <c r="C7" t="s">
        <v>51</v>
      </c>
      <c r="D7">
        <v>0.2</v>
      </c>
      <c r="F7">
        <v>0.08</v>
      </c>
      <c r="H7">
        <v>0.1</v>
      </c>
    </row>
    <row r="8" spans="1:8" x14ac:dyDescent="0.2">
      <c r="A8" t="s">
        <v>49</v>
      </c>
      <c r="B8" t="s">
        <v>8</v>
      </c>
      <c r="C8" t="s">
        <v>18</v>
      </c>
      <c r="D8">
        <v>0.12</v>
      </c>
      <c r="F8">
        <v>0.12</v>
      </c>
      <c r="H8">
        <v>0.1</v>
      </c>
    </row>
    <row r="9" spans="1:8" x14ac:dyDescent="0.2">
      <c r="A9" t="s">
        <v>49</v>
      </c>
      <c r="B9" t="s">
        <v>9</v>
      </c>
      <c r="C9" t="s">
        <v>19</v>
      </c>
      <c r="D9">
        <v>0.04</v>
      </c>
      <c r="F9">
        <v>0.05</v>
      </c>
      <c r="H9">
        <v>0.05</v>
      </c>
    </row>
    <row r="10" spans="1:8" x14ac:dyDescent="0.2">
      <c r="A10" t="s">
        <v>49</v>
      </c>
      <c r="B10" t="s">
        <v>10</v>
      </c>
      <c r="C10" t="s">
        <v>20</v>
      </c>
      <c r="D10">
        <v>0.08</v>
      </c>
      <c r="F10">
        <v>0.08</v>
      </c>
      <c r="H10">
        <v>0.05</v>
      </c>
    </row>
    <row r="11" spans="1:8" x14ac:dyDescent="0.2">
      <c r="A11" t="s">
        <v>49</v>
      </c>
      <c r="B11" t="s">
        <v>11</v>
      </c>
      <c r="C11" t="s">
        <v>21</v>
      </c>
      <c r="D11">
        <v>0.06</v>
      </c>
      <c r="F11">
        <v>7.0000000000000007E-2</v>
      </c>
      <c r="H11">
        <v>0.05</v>
      </c>
    </row>
    <row r="12" spans="1:8" x14ac:dyDescent="0.2">
      <c r="A12" t="s">
        <v>49</v>
      </c>
      <c r="B12" t="s">
        <v>12</v>
      </c>
      <c r="C12" t="s">
        <v>22</v>
      </c>
      <c r="D12">
        <v>0.05</v>
      </c>
      <c r="F12">
        <v>0.05</v>
      </c>
      <c r="H12">
        <v>0.05</v>
      </c>
    </row>
    <row r="13" spans="1:8" x14ac:dyDescent="0.2">
      <c r="A13" t="s">
        <v>50</v>
      </c>
      <c r="C13" t="s">
        <v>46</v>
      </c>
      <c r="D13">
        <v>0.03</v>
      </c>
      <c r="F13">
        <v>0.03</v>
      </c>
    </row>
    <row r="15" spans="1:8" x14ac:dyDescent="0.2">
      <c r="A15" s="4" t="s">
        <v>13</v>
      </c>
      <c r="B15" s="5"/>
      <c r="C15" s="5"/>
      <c r="D15" s="5">
        <f>+SUM(D3:D14)</f>
        <v>1.0000000000000002</v>
      </c>
      <c r="E15" s="6"/>
      <c r="F15" s="5">
        <f>+SUM(F$3:F14)</f>
        <v>1</v>
      </c>
      <c r="G15" s="6"/>
      <c r="H15" s="7">
        <f>+SUM(H$3:H14)</f>
        <v>1</v>
      </c>
    </row>
    <row r="16" spans="1:8" x14ac:dyDescent="0.2">
      <c r="F16" s="1"/>
      <c r="H16" s="1"/>
    </row>
    <row r="17" spans="1:8" x14ac:dyDescent="0.2">
      <c r="A17" s="4" t="s">
        <v>3</v>
      </c>
      <c r="B17" s="5"/>
      <c r="C17" s="5"/>
      <c r="D17" s="5" t="s">
        <v>2</v>
      </c>
      <c r="E17" s="5"/>
      <c r="F17" s="5" t="s">
        <v>2</v>
      </c>
      <c r="G17" s="5"/>
      <c r="H17" s="7"/>
    </row>
    <row r="18" spans="1:8" x14ac:dyDescent="0.2">
      <c r="A18" t="s">
        <v>48</v>
      </c>
      <c r="D18">
        <f>+SUMIFS(D$3:D$14,$A$3:$A$14,$A18)</f>
        <v>0.62000000000000011</v>
      </c>
      <c r="F18">
        <f>+SUMIFS(F$3:F$14,$A$3:$A$14,$A18)</f>
        <v>0.6</v>
      </c>
    </row>
    <row r="19" spans="1:8" x14ac:dyDescent="0.2">
      <c r="A19" t="s">
        <v>49</v>
      </c>
      <c r="D19">
        <f>+SUMIFS(D$3:D$14,$A$3:$A$14,$A19)</f>
        <v>0.35</v>
      </c>
      <c r="F19">
        <f>+SUMIFS(F$3:F$14,$A$3:$A$14,$A19)</f>
        <v>0.37</v>
      </c>
    </row>
    <row r="20" spans="1:8" x14ac:dyDescent="0.2">
      <c r="A20" t="s">
        <v>50</v>
      </c>
      <c r="D20">
        <f>+SUMIFS(D$3:D$14,$A$3:$A$14,$A20)</f>
        <v>0.03</v>
      </c>
      <c r="F20">
        <f>+SUMIFS(F$3:F$14,$A$3:$A$14,$A20)</f>
        <v>0.03</v>
      </c>
    </row>
    <row r="22" spans="1:8" x14ac:dyDescent="0.2">
      <c r="A22" s="4" t="s">
        <v>13</v>
      </c>
      <c r="B22" s="5"/>
      <c r="C22" s="5"/>
      <c r="D22" s="5">
        <f>+SUM(D18:D21)</f>
        <v>1</v>
      </c>
      <c r="E22" s="5"/>
      <c r="F22" s="5">
        <f>+SUM(F18:F21)</f>
        <v>1</v>
      </c>
      <c r="G22" s="5"/>
      <c r="H2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42EF-FEB3-A143-BF33-49E91E5CE9FA}">
  <dimension ref="B1:G12"/>
  <sheetViews>
    <sheetView workbookViewId="0">
      <selection activeCell="B1" sqref="B1:G12"/>
    </sheetView>
  </sheetViews>
  <sheetFormatPr baseColWidth="10" defaultRowHeight="16" x14ac:dyDescent="0.2"/>
  <cols>
    <col min="2" max="2" width="20.83203125" customWidth="1"/>
    <col min="3" max="3" width="18.1640625" customWidth="1"/>
    <col min="4" max="4" width="18" customWidth="1"/>
  </cols>
  <sheetData>
    <row r="1" spans="2:7" ht="34" x14ac:dyDescent="0.2"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</row>
    <row r="2" spans="2:7" ht="26" x14ac:dyDescent="0.2">
      <c r="B2" s="3" t="s">
        <v>29</v>
      </c>
      <c r="C2" s="3" t="s">
        <v>30</v>
      </c>
      <c r="D2" s="3" t="s">
        <v>31</v>
      </c>
      <c r="E2" s="3" t="s">
        <v>32</v>
      </c>
      <c r="F2" s="3" t="s">
        <v>27</v>
      </c>
      <c r="G2" s="3"/>
    </row>
    <row r="3" spans="2:7" ht="26" x14ac:dyDescent="0.2">
      <c r="B3" s="3" t="s">
        <v>33</v>
      </c>
      <c r="C3" s="3" t="s">
        <v>30</v>
      </c>
      <c r="D3" s="3" t="s">
        <v>34</v>
      </c>
      <c r="E3" s="3"/>
      <c r="F3" s="3"/>
      <c r="G3" s="3"/>
    </row>
    <row r="4" spans="2:7" ht="26" x14ac:dyDescent="0.2">
      <c r="B4" s="3" t="s">
        <v>35</v>
      </c>
      <c r="C4" s="3"/>
      <c r="D4" s="3" t="s">
        <v>31</v>
      </c>
      <c r="E4" s="3"/>
      <c r="F4" s="3"/>
      <c r="G4" s="3"/>
    </row>
    <row r="5" spans="2:7" ht="26" x14ac:dyDescent="0.2">
      <c r="B5" s="3" t="s">
        <v>36</v>
      </c>
      <c r="C5" s="3"/>
      <c r="D5" s="3" t="s">
        <v>31</v>
      </c>
      <c r="E5" s="3"/>
      <c r="F5" s="3"/>
      <c r="G5" s="3"/>
    </row>
    <row r="6" spans="2:7" ht="26" x14ac:dyDescent="0.2">
      <c r="B6" s="3" t="s">
        <v>37</v>
      </c>
      <c r="C6" s="3"/>
      <c r="D6" s="3" t="s">
        <v>38</v>
      </c>
      <c r="E6" s="3"/>
      <c r="F6" s="3"/>
      <c r="G6" s="3"/>
    </row>
    <row r="7" spans="2:7" ht="26" x14ac:dyDescent="0.2">
      <c r="B7" s="3" t="s">
        <v>39</v>
      </c>
      <c r="C7" s="3"/>
      <c r="D7" s="3" t="s">
        <v>31</v>
      </c>
      <c r="E7" s="3"/>
      <c r="F7" s="3"/>
      <c r="G7" s="3"/>
    </row>
    <row r="8" spans="2:7" ht="26" x14ac:dyDescent="0.2">
      <c r="B8" s="3" t="s">
        <v>40</v>
      </c>
      <c r="C8" s="3"/>
      <c r="D8" s="3" t="s">
        <v>31</v>
      </c>
      <c r="E8" s="3"/>
      <c r="F8" s="3"/>
      <c r="G8" s="3"/>
    </row>
    <row r="9" spans="2:7" ht="26" x14ac:dyDescent="0.2">
      <c r="B9" s="3" t="s">
        <v>41</v>
      </c>
      <c r="C9" s="3"/>
      <c r="D9" s="3" t="s">
        <v>31</v>
      </c>
      <c r="E9" s="3"/>
      <c r="F9" s="3"/>
      <c r="G9" s="3"/>
    </row>
    <row r="10" spans="2:7" ht="39" x14ac:dyDescent="0.2">
      <c r="B10" s="3" t="s">
        <v>42</v>
      </c>
      <c r="C10" s="3"/>
      <c r="D10" s="3" t="s">
        <v>43</v>
      </c>
      <c r="E10" s="3"/>
      <c r="F10" s="3"/>
      <c r="G10" s="3"/>
    </row>
    <row r="11" spans="2:7" ht="39" x14ac:dyDescent="0.2">
      <c r="B11" s="3" t="s">
        <v>44</v>
      </c>
      <c r="C11" s="3"/>
      <c r="D11" s="3" t="s">
        <v>43</v>
      </c>
      <c r="E11" s="3"/>
      <c r="F11" s="3"/>
      <c r="G11" s="3"/>
    </row>
    <row r="12" spans="2:7" ht="26" x14ac:dyDescent="0.2">
      <c r="B12" s="3" t="s">
        <v>45</v>
      </c>
      <c r="C12" s="3"/>
      <c r="D12" s="3" t="s">
        <v>38</v>
      </c>
      <c r="E12" s="3"/>
      <c r="F12" s="3"/>
      <c r="G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Ponderacion</vt:lpstr>
      <vt:lpstr>Homogeneizacion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GALINDO EGEA</dc:creator>
  <cp:lastModifiedBy>JOSE GALINDO EGEA</cp:lastModifiedBy>
  <dcterms:created xsi:type="dcterms:W3CDTF">2026-05-19T08:30:23Z</dcterms:created>
  <dcterms:modified xsi:type="dcterms:W3CDTF">2026-05-19T10:57:32Z</dcterms:modified>
</cp:coreProperties>
</file>